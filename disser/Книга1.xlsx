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dim\Documents\Visual Studio 2022\Projects\PICpp\disser\"/>
    </mc:Choice>
  </mc:AlternateContent>
  <bookViews>
    <workbookView xWindow="0" yWindow="0" windowWidth="19200" windowHeight="705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6" i="1" l="1"/>
  <c r="W46" i="1"/>
  <c r="V45" i="1"/>
  <c r="W45" i="1"/>
  <c r="V44" i="1"/>
  <c r="W44" i="1"/>
  <c r="V43" i="1" l="1"/>
  <c r="W43" i="1"/>
  <c r="V42" i="1"/>
  <c r="W42" i="1"/>
  <c r="V41" i="1"/>
  <c r="W41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2" i="1"/>
  <c r="V40" i="1" l="1"/>
  <c r="W40" i="1"/>
  <c r="V39" i="1"/>
  <c r="W39" i="1"/>
  <c r="V38" i="1"/>
  <c r="W38" i="1"/>
  <c r="V37" i="1"/>
  <c r="W37" i="1"/>
  <c r="V36" i="1"/>
  <c r="W36" i="1"/>
  <c r="V35" i="1"/>
  <c r="W35" i="1"/>
  <c r="V34" i="1"/>
  <c r="W34" i="1"/>
  <c r="V33" i="1"/>
  <c r="W33" i="1"/>
  <c r="V32" i="1"/>
  <c r="W32" i="1"/>
  <c r="V31" i="1"/>
  <c r="W31" i="1"/>
  <c r="V30" i="1"/>
  <c r="W30" i="1"/>
  <c r="V29" i="1"/>
  <c r="W29" i="1"/>
  <c r="V28" i="1"/>
  <c r="W28" i="1"/>
  <c r="V27" i="1"/>
  <c r="W27" i="1"/>
  <c r="V26" i="1"/>
  <c r="W26" i="1"/>
  <c r="V25" i="1"/>
  <c r="W25" i="1"/>
  <c r="V24" i="1"/>
  <c r="W24" i="1"/>
  <c r="V23" i="1"/>
  <c r="W23" i="1"/>
  <c r="V22" i="1"/>
  <c r="W22" i="1"/>
  <c r="V21" i="1"/>
  <c r="W21" i="1"/>
  <c r="V20" i="1"/>
  <c r="W20" i="1"/>
  <c r="W18" i="1"/>
  <c r="W19" i="1"/>
  <c r="V18" i="1"/>
  <c r="V19" i="1"/>
  <c r="W17" i="1"/>
  <c r="V17" i="1"/>
  <c r="W16" i="1"/>
  <c r="V16" i="1"/>
  <c r="W15" i="1"/>
  <c r="V15" i="1"/>
  <c r="W14" i="1"/>
  <c r="V14" i="1"/>
  <c r="W13" i="1"/>
  <c r="W12" i="1"/>
  <c r="W11" i="1"/>
  <c r="V13" i="1"/>
  <c r="V12" i="1"/>
  <c r="V11" i="1"/>
  <c r="W10" i="1" l="1"/>
  <c r="W9" i="1"/>
  <c r="W8" i="1"/>
  <c r="W4" i="1"/>
  <c r="W3" i="1"/>
  <c r="W2" i="1"/>
  <c r="V10" i="1"/>
  <c r="V9" i="1"/>
  <c r="V4" i="1"/>
  <c r="V3" i="1"/>
  <c r="V2" i="1"/>
  <c r="V8" i="1"/>
</calcChain>
</file>

<file path=xl/sharedStrings.xml><?xml version="1.0" encoding="utf-8"?>
<sst xmlns="http://schemas.openxmlformats.org/spreadsheetml/2006/main" count="38" uniqueCount="38">
  <si>
    <t>output_shock_gamma0.3_theta30_sigma0.0002_T0.02_outplane_Nx250000_Ny200_injector</t>
  </si>
  <si>
    <t>номер итерации</t>
  </si>
  <si>
    <t>размер</t>
  </si>
  <si>
    <t>температура протонов</t>
  </si>
  <si>
    <t>показатель тепловой</t>
  </si>
  <si>
    <t>показатель полный</t>
  </si>
  <si>
    <t>output_shock_gamma0.3_theta30_sigma0.0004_T0.02_outplane_Nx180000_Ny100_injector</t>
  </si>
  <si>
    <t>output_shock_gamma0.5_theta30_sigma0.0002_T0.02_outplane_Nx350000_Ny100_injector</t>
  </si>
  <si>
    <t>1.62990</t>
  </si>
  <si>
    <t>5.3314E11</t>
  </si>
  <si>
    <t>1.523E11</t>
  </si>
  <si>
    <t>1.655300</t>
  </si>
  <si>
    <t>1.54370</t>
  </si>
  <si>
    <t>1.61110</t>
  </si>
  <si>
    <t>1.39060</t>
  </si>
  <si>
    <t>output_shock_gamma0.5_theta30_sigma0.004_T0.02_outplane_Nx350000_Ny100_injetor</t>
  </si>
  <si>
    <t>3.3164E11</t>
  </si>
  <si>
    <t>output_shock_gamma0.5_theta80_sigma0.004_T0.02_outplane_Nx350000_Ny100_injector</t>
  </si>
  <si>
    <t>output_shock_gamma0.66_theta30_sigma0.0002_T0.02_outplane_Nx350000_Ny100_injector</t>
  </si>
  <si>
    <t>1.5182E12</t>
  </si>
  <si>
    <t>output_shock_gamma0.66_theta30_sigma0.0004_T0.02_outplane_Nx250000_Ny100_injector</t>
  </si>
  <si>
    <t>1.2876E12</t>
  </si>
  <si>
    <t>output_shock_gamma0.66_theta30_sigma0.004_T0.02_outplane_Nx35000_Ny100_injector</t>
  </si>
  <si>
    <t>7.693E11</t>
  </si>
  <si>
    <t>output_shock_gamma0.66_theta30_sigma0.04_T0.02_outplane_Nx250000_Ny100_injector</t>
  </si>
  <si>
    <t>output_shock_gamma0.66_theta80_sigma0.004_T0.02_outplane_Nx350000_Ny100_injector</t>
  </si>
  <si>
    <t>output_shock_gamma0.75_theta30_sigma0.0002_T0.02_outplane_Nx350000_Ny100_injector</t>
  </si>
  <si>
    <t>output_shock_gamma0.75_theta30_sigma0.00004_T0.02_outplane_Nx350000_Ny100_injector</t>
  </si>
  <si>
    <t>output_shock_gamma0.75_theta30_sigma0.004_T0.02_outplane_Nx350000_Ny100_injector</t>
  </si>
  <si>
    <t>скорость ув</t>
  </si>
  <si>
    <t>температура электронов</t>
  </si>
  <si>
    <t>показатель электронов</t>
  </si>
  <si>
    <t>скорость потока</t>
  </si>
  <si>
    <t>скорость ув 1</t>
  </si>
  <si>
    <t>???</t>
  </si>
  <si>
    <t>????</t>
  </si>
  <si>
    <t>output_shock_gamma0.75_theta30_sigma0.04</t>
  </si>
  <si>
    <t>output_shock_gamma0.75_theta30_sigma0.0004_T0.02_outplane_Nx350000_Ny100_injector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</si>
</sst>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0E+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tabSelected="1" topLeftCell="H31" workbookViewId="0">
      <selection activeCell="K44" sqref="K44"/>
    </sheetView>
  </sheetViews>
  <sheetFormatPr defaultRowHeight="14.5" x14ac:dyDescent="0.35"/>
  <cols>
    <col min="1" max="1" width="82.26953125" customWidth="1"/>
    <col min="2" max="2" width="12.26953125" bestFit="1" customWidth="1"/>
    <col min="3" max="3" width="12.36328125" bestFit="1" customWidth="1"/>
    <col min="4" max="5" width="11.90625" bestFit="1" customWidth="1"/>
    <col min="6" max="6" width="13.54296875" customWidth="1"/>
    <col min="7" max="7" width="20.54296875" bestFit="1" customWidth="1"/>
    <col min="8" max="8" width="12.26953125" bestFit="1" customWidth="1"/>
    <col min="9" max="9" width="19.54296875" bestFit="1" customWidth="1"/>
    <col min="10" max="10" width="12.26953125" bestFit="1" customWidth="1"/>
    <col min="12" max="20" width="8.81640625" bestFit="1" customWidth="1"/>
    <col min="21" max="21" width="9.26953125" bestFit="1" customWidth="1"/>
  </cols>
  <sheetData>
    <row r="1" spans="1:23" x14ac:dyDescent="0.35">
      <c r="B1" t="s">
        <v>1</v>
      </c>
      <c r="C1" t="s">
        <v>2</v>
      </c>
      <c r="D1" t="s">
        <v>32</v>
      </c>
      <c r="E1" t="s">
        <v>29</v>
      </c>
      <c r="F1" t="s">
        <v>33</v>
      </c>
      <c r="G1" t="s">
        <v>3</v>
      </c>
      <c r="H1" t="s">
        <v>4</v>
      </c>
      <c r="I1" t="s">
        <v>30</v>
      </c>
      <c r="J1" t="s">
        <v>31</v>
      </c>
      <c r="K1" s="1" t="s">
        <v>5</v>
      </c>
      <c r="L1" s="1">
        <v>1</v>
      </c>
      <c r="M1" s="1">
        <v>2</v>
      </c>
      <c r="N1" s="1">
        <v>3</v>
      </c>
      <c r="O1" s="1">
        <v>4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</row>
    <row r="2" spans="1:23" x14ac:dyDescent="0.35">
      <c r="A2" t="s">
        <v>0</v>
      </c>
      <c r="B2" s="4">
        <v>5</v>
      </c>
      <c r="C2" s="4">
        <v>50000</v>
      </c>
      <c r="D2" s="3">
        <v>0.3</v>
      </c>
      <c r="E2" s="3">
        <v>9.35E-2</v>
      </c>
      <c r="F2" s="3">
        <f>(E2+D2)/(1+E2*D2)</f>
        <v>0.38276348426632945</v>
      </c>
      <c r="G2" s="3" t="s">
        <v>10</v>
      </c>
      <c r="H2" s="3" t="s">
        <v>11</v>
      </c>
      <c r="I2" s="3">
        <v>92800000000</v>
      </c>
      <c r="J2" s="3">
        <v>1.4329050925925926</v>
      </c>
      <c r="K2" s="1">
        <v>1.5710999999999999</v>
      </c>
      <c r="L2" s="1">
        <v>1.5698000000000001</v>
      </c>
      <c r="M2" s="1">
        <v>1.5753999999999999</v>
      </c>
      <c r="N2" s="1">
        <v>1.5749</v>
      </c>
      <c r="O2" s="1">
        <v>1.5728</v>
      </c>
      <c r="P2" s="1">
        <v>1.5707</v>
      </c>
      <c r="Q2" s="1">
        <v>1.5704</v>
      </c>
      <c r="R2" s="1">
        <v>1.5693999999999999</v>
      </c>
      <c r="S2" s="1">
        <v>1.5641</v>
      </c>
      <c r="T2" s="1">
        <v>1.5638000000000001</v>
      </c>
      <c r="U2" s="1">
        <v>1.5863</v>
      </c>
      <c r="V2" s="1">
        <f>AVERAGE(L2:U2)</f>
        <v>1.5717599999999998</v>
      </c>
      <c r="W2">
        <f>STDEV(L2:U2)</f>
        <v>6.4120026339496775E-3</v>
      </c>
    </row>
    <row r="3" spans="1:23" x14ac:dyDescent="0.35">
      <c r="B3" s="4"/>
      <c r="C3" s="4"/>
      <c r="D3" s="3"/>
      <c r="E3" s="3"/>
      <c r="F3" s="3">
        <f t="shared" ref="F3:F66" si="0">(E3+D3)/(1+E3*D3)</f>
        <v>0</v>
      </c>
      <c r="G3" s="3"/>
      <c r="H3" s="3"/>
      <c r="I3" s="3"/>
      <c r="J3" s="3"/>
      <c r="K3" s="1">
        <v>1.6472</v>
      </c>
      <c r="L3" s="1">
        <v>1.6500999999999999</v>
      </c>
      <c r="M3" s="1">
        <v>1.6495</v>
      </c>
      <c r="N3" s="1">
        <v>1.649</v>
      </c>
      <c r="O3" s="1">
        <v>1.64724</v>
      </c>
      <c r="P3" s="1">
        <v>1.6486000000000001</v>
      </c>
      <c r="Q3" s="1">
        <v>1.6477999999999999</v>
      </c>
      <c r="R3" s="1">
        <v>1.6467000000000001</v>
      </c>
      <c r="S3" s="1">
        <v>1.6468</v>
      </c>
      <c r="T3" s="1">
        <v>1.6431</v>
      </c>
      <c r="U3" s="1">
        <v>1.6331</v>
      </c>
      <c r="V3" s="1">
        <f>AVERAGE(L3:U3)</f>
        <v>1.6461940000000002</v>
      </c>
      <c r="W3">
        <f>STDEV(L3:U3)</f>
        <v>5.0019023047903092E-3</v>
      </c>
    </row>
    <row r="4" spans="1:23" x14ac:dyDescent="0.35">
      <c r="B4" s="4"/>
      <c r="C4" s="4"/>
      <c r="D4" s="3"/>
      <c r="E4" s="3"/>
      <c r="F4" s="3">
        <f t="shared" si="0"/>
        <v>0</v>
      </c>
      <c r="G4" s="3"/>
      <c r="H4" s="3"/>
      <c r="I4" s="3"/>
      <c r="J4" s="3"/>
      <c r="K4" s="1">
        <v>1.4467000000000001</v>
      </c>
      <c r="L4" s="1">
        <v>1.4511000000000001</v>
      </c>
      <c r="M4" s="1">
        <v>1.4525999999999999</v>
      </c>
      <c r="N4" s="1">
        <v>1.4520999999999999</v>
      </c>
      <c r="O4" s="1">
        <v>1.4479</v>
      </c>
      <c r="P4" s="1">
        <v>1.4454</v>
      </c>
      <c r="Q4" s="1">
        <v>1.4444999999999999</v>
      </c>
      <c r="R4" s="1">
        <v>1.4436</v>
      </c>
      <c r="S4" s="1">
        <v>1.4400999999999999</v>
      </c>
      <c r="T4" s="1">
        <v>1.4402999999999999</v>
      </c>
      <c r="U4" s="1">
        <v>1.4550000000000001</v>
      </c>
      <c r="V4" s="1">
        <f>AVERAGE(L4:U4)</f>
        <v>1.44726</v>
      </c>
      <c r="W4">
        <f>STDEV(L4:U4)</f>
        <v>5.2829284808081217E-3</v>
      </c>
    </row>
    <row r="5" spans="1:23" x14ac:dyDescent="0.35">
      <c r="A5" t="s">
        <v>6</v>
      </c>
      <c r="B5" s="4"/>
      <c r="C5" s="4"/>
      <c r="D5" s="3"/>
      <c r="E5" s="3"/>
      <c r="F5" s="3">
        <f t="shared" si="0"/>
        <v>0</v>
      </c>
      <c r="G5" s="3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3" x14ac:dyDescent="0.35">
      <c r="B6" s="4"/>
      <c r="C6" s="4"/>
      <c r="D6" s="3"/>
      <c r="E6" s="3"/>
      <c r="F6" s="3">
        <f t="shared" si="0"/>
        <v>0</v>
      </c>
      <c r="G6" s="3"/>
      <c r="H6" s="3"/>
      <c r="I6" s="3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3" x14ac:dyDescent="0.35">
      <c r="B7" s="4"/>
      <c r="C7" s="4"/>
      <c r="D7" s="3"/>
      <c r="E7" s="3"/>
      <c r="F7" s="3">
        <f t="shared" si="0"/>
        <v>0</v>
      </c>
      <c r="G7" s="3"/>
      <c r="H7" s="3"/>
      <c r="I7" s="3"/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3" x14ac:dyDescent="0.35">
      <c r="A8" t="s">
        <v>7</v>
      </c>
      <c r="B8" s="4">
        <v>4</v>
      </c>
      <c r="C8" s="4">
        <v>50000</v>
      </c>
      <c r="D8" s="3">
        <v>0.5</v>
      </c>
      <c r="E8" s="3">
        <v>0.16200000000000001</v>
      </c>
      <c r="F8" s="3">
        <f t="shared" si="0"/>
        <v>0.61239592969472711</v>
      </c>
      <c r="G8" s="3" t="s">
        <v>9</v>
      </c>
      <c r="H8" s="3" t="s">
        <v>8</v>
      </c>
      <c r="I8" s="3">
        <v>221000000000</v>
      </c>
      <c r="J8" s="3">
        <v>1.3825000000000001</v>
      </c>
      <c r="K8" s="1" t="s">
        <v>12</v>
      </c>
      <c r="L8" s="1">
        <v>1.5370999999999999</v>
      </c>
      <c r="M8" s="1">
        <v>1.5377000000000001</v>
      </c>
      <c r="N8" s="1">
        <v>1.5374000000000001</v>
      </c>
      <c r="O8" s="1">
        <v>1.5364</v>
      </c>
      <c r="P8" s="1">
        <v>1.5392999999999999</v>
      </c>
      <c r="Q8" s="1">
        <v>1.5416000000000001</v>
      </c>
      <c r="R8" s="1">
        <v>1.5468</v>
      </c>
      <c r="S8" s="1">
        <v>1.5508999999999999</v>
      </c>
      <c r="T8" s="1">
        <v>1.5537000000000001</v>
      </c>
      <c r="U8" s="1">
        <v>1.5575000000000001</v>
      </c>
      <c r="V8" s="1">
        <f t="shared" ref="V8:V17" si="1">AVERAGE(L8:U8)</f>
        <v>1.5438400000000001</v>
      </c>
      <c r="W8">
        <f t="shared" ref="W8:W17" si="2">STDEV(L8:U8)</f>
        <v>7.8031617523497306E-3</v>
      </c>
    </row>
    <row r="9" spans="1:23" x14ac:dyDescent="0.35">
      <c r="B9" s="4"/>
      <c r="C9" s="4"/>
      <c r="D9" s="3"/>
      <c r="E9" s="3"/>
      <c r="F9" s="3">
        <f t="shared" si="0"/>
        <v>0</v>
      </c>
      <c r="G9" s="3"/>
      <c r="H9" s="3"/>
      <c r="I9" s="3"/>
      <c r="J9" s="3"/>
      <c r="K9" s="1" t="s">
        <v>13</v>
      </c>
      <c r="L9" s="1">
        <v>1.6263000000000001</v>
      </c>
      <c r="M9" s="1">
        <v>1.6238999999999999</v>
      </c>
      <c r="N9" s="1">
        <v>1.615</v>
      </c>
      <c r="O9" s="1">
        <v>1.6</v>
      </c>
      <c r="P9" s="1">
        <v>1.6020000000000001</v>
      </c>
      <c r="Q9" s="1">
        <v>1.6039000000000001</v>
      </c>
      <c r="R9" s="1">
        <v>1.6091</v>
      </c>
      <c r="S9" s="1">
        <v>1.6106</v>
      </c>
      <c r="T9" s="1">
        <v>1.6097999999999999</v>
      </c>
      <c r="U9" s="1">
        <v>1.6127</v>
      </c>
      <c r="V9" s="1">
        <f t="shared" si="1"/>
        <v>1.6113299999999999</v>
      </c>
      <c r="W9">
        <f t="shared" si="2"/>
        <v>8.666160241614089E-3</v>
      </c>
    </row>
    <row r="10" spans="1:23" x14ac:dyDescent="0.35">
      <c r="B10" s="4"/>
      <c r="C10" s="4"/>
      <c r="D10" s="3"/>
      <c r="E10" s="3"/>
      <c r="F10" s="3">
        <f t="shared" si="0"/>
        <v>0</v>
      </c>
      <c r="G10" s="3"/>
      <c r="H10" s="3"/>
      <c r="I10" s="3"/>
      <c r="J10" s="3"/>
      <c r="K10" s="1" t="s">
        <v>14</v>
      </c>
      <c r="L10" s="1">
        <v>1.3872</v>
      </c>
      <c r="M10" s="1">
        <v>1.3864000000000001</v>
      </c>
      <c r="N10" s="1">
        <v>1.3859999999999999</v>
      </c>
      <c r="O10" s="1">
        <v>1.3880999999999999</v>
      </c>
      <c r="P10" s="1">
        <v>1.3908</v>
      </c>
      <c r="Q10" s="1">
        <v>1.3906000000000001</v>
      </c>
      <c r="R10" s="1">
        <v>1.3934</v>
      </c>
      <c r="S10" s="1">
        <v>1.3948</v>
      </c>
      <c r="T10" s="1">
        <v>1.3958999999999999</v>
      </c>
      <c r="U10" s="1">
        <v>1.3980999999999999</v>
      </c>
      <c r="V10" s="1">
        <f t="shared" si="1"/>
        <v>1.39113</v>
      </c>
      <c r="W10">
        <f t="shared" si="2"/>
        <v>4.2643353005545242E-3</v>
      </c>
    </row>
    <row r="11" spans="1:23" x14ac:dyDescent="0.35">
      <c r="A11" t="s">
        <v>15</v>
      </c>
      <c r="B11" s="4">
        <v>8</v>
      </c>
      <c r="C11" s="4">
        <v>50000</v>
      </c>
      <c r="D11" s="3">
        <v>0.5</v>
      </c>
      <c r="E11" s="3">
        <v>0.1333</v>
      </c>
      <c r="F11" s="3">
        <f t="shared" si="0"/>
        <v>0.59372802700042182</v>
      </c>
      <c r="G11" s="3" t="s">
        <v>16</v>
      </c>
      <c r="H11" s="3">
        <v>1.6429</v>
      </c>
      <c r="I11" s="3">
        <v>153900000000</v>
      </c>
      <c r="J11" s="3">
        <v>1.4004000000000001</v>
      </c>
      <c r="K11" s="1">
        <v>1.5353000000000001</v>
      </c>
      <c r="L11" s="1">
        <v>1.5358000000000001</v>
      </c>
      <c r="M11" s="1">
        <v>1.5369999999999999</v>
      </c>
      <c r="N11" s="1">
        <v>1.5370999999999999</v>
      </c>
      <c r="O11" s="1">
        <v>1.5364</v>
      </c>
      <c r="P11" s="1">
        <v>1.5357000000000001</v>
      </c>
      <c r="Q11" s="1">
        <v>1.5348999999999999</v>
      </c>
      <c r="R11" s="1">
        <v>1.5330999999999999</v>
      </c>
      <c r="S11" s="1">
        <v>1.5357000000000001</v>
      </c>
      <c r="T11" s="1">
        <v>1.5347999999999999</v>
      </c>
      <c r="U11" s="1">
        <v>1.5328999999999999</v>
      </c>
      <c r="V11" s="1">
        <f t="shared" si="1"/>
        <v>1.5353400000000001</v>
      </c>
      <c r="W11">
        <f t="shared" si="2"/>
        <v>1.4492910144082492E-3</v>
      </c>
    </row>
    <row r="12" spans="1:23" x14ac:dyDescent="0.35">
      <c r="B12" s="4"/>
      <c r="C12" s="4"/>
      <c r="D12" s="3"/>
      <c r="E12" s="3"/>
      <c r="F12" s="3">
        <f t="shared" si="0"/>
        <v>0</v>
      </c>
      <c r="G12" s="3"/>
      <c r="H12" s="3"/>
      <c r="I12" s="3"/>
      <c r="J12" s="3"/>
      <c r="K12" s="1">
        <v>1.5887</v>
      </c>
      <c r="L12" s="1">
        <v>1.5886</v>
      </c>
      <c r="M12" s="1">
        <v>1.5909</v>
      </c>
      <c r="N12" s="1">
        <v>1.5919000000000001</v>
      </c>
      <c r="O12" s="1">
        <v>1.5907</v>
      </c>
      <c r="P12" s="1">
        <v>1.5885</v>
      </c>
      <c r="Q12" s="1">
        <v>1.5887</v>
      </c>
      <c r="R12" s="1">
        <v>1.5865</v>
      </c>
      <c r="S12" s="1">
        <v>1.5906</v>
      </c>
      <c r="T12" s="1">
        <v>1.5896999999999999</v>
      </c>
      <c r="U12" s="1">
        <v>1.5825</v>
      </c>
      <c r="V12" s="1">
        <f t="shared" si="1"/>
        <v>1.5888599999999999</v>
      </c>
      <c r="W12">
        <f t="shared" si="2"/>
        <v>2.7236413534498672E-3</v>
      </c>
    </row>
    <row r="13" spans="1:23" x14ac:dyDescent="0.35">
      <c r="B13" s="4"/>
      <c r="C13" s="4"/>
      <c r="D13" s="3"/>
      <c r="E13" s="3"/>
      <c r="F13" s="3">
        <f t="shared" si="0"/>
        <v>0</v>
      </c>
      <c r="G13" s="3"/>
      <c r="H13" s="3"/>
      <c r="I13" s="3"/>
      <c r="J13" s="3"/>
      <c r="K13" s="1">
        <v>1.4018999999999999</v>
      </c>
      <c r="L13" s="1">
        <v>1.4039999999999999</v>
      </c>
      <c r="M13" s="1">
        <v>1.4047000000000001</v>
      </c>
      <c r="N13" s="1">
        <v>1.4040999999999999</v>
      </c>
      <c r="O13" s="1">
        <v>1.4041999999999999</v>
      </c>
      <c r="P13" s="1">
        <v>1.4028</v>
      </c>
      <c r="Q13" s="1">
        <v>1.4024000000000001</v>
      </c>
      <c r="R13" s="1">
        <v>1.4001999999999999</v>
      </c>
      <c r="S13" s="1">
        <v>1.3998999999999999</v>
      </c>
      <c r="T13" s="1">
        <v>1.3987000000000001</v>
      </c>
      <c r="U13" s="1">
        <v>1.3982000000000001</v>
      </c>
      <c r="V13" s="1">
        <f t="shared" si="1"/>
        <v>1.4019200000000001</v>
      </c>
      <c r="W13">
        <f t="shared" si="2"/>
        <v>2.4552890755355689E-3</v>
      </c>
    </row>
    <row r="14" spans="1:23" x14ac:dyDescent="0.35">
      <c r="A14" t="s">
        <v>17</v>
      </c>
      <c r="B14" s="4">
        <v>8</v>
      </c>
      <c r="C14" s="4">
        <v>50000</v>
      </c>
      <c r="D14" s="3">
        <v>0.5</v>
      </c>
      <c r="E14" s="3">
        <v>0.19600000000000001</v>
      </c>
      <c r="F14" s="3">
        <f t="shared" si="0"/>
        <v>0.63387978142076495</v>
      </c>
      <c r="G14" s="3"/>
      <c r="H14" s="3"/>
      <c r="I14" s="3"/>
      <c r="J14" s="3"/>
      <c r="K14" s="1">
        <v>1.5682</v>
      </c>
      <c r="L14" s="1">
        <v>1.556</v>
      </c>
      <c r="M14" s="1">
        <v>1.5661</v>
      </c>
      <c r="N14" s="1">
        <v>1.5673999999999999</v>
      </c>
      <c r="O14" s="1">
        <v>1.5689</v>
      </c>
      <c r="P14" s="1">
        <v>1.5679000000000001</v>
      </c>
      <c r="Q14" s="1">
        <v>1.5683</v>
      </c>
      <c r="R14" s="1">
        <v>1.5708</v>
      </c>
      <c r="S14" s="1">
        <v>1.5720000000000001</v>
      </c>
      <c r="T14" s="1">
        <v>1.5728</v>
      </c>
      <c r="U14" s="1">
        <v>1.573</v>
      </c>
      <c r="V14" s="1">
        <f t="shared" si="1"/>
        <v>1.5683200000000004</v>
      </c>
      <c r="W14">
        <f t="shared" si="2"/>
        <v>4.9411649548573994E-3</v>
      </c>
    </row>
    <row r="15" spans="1:23" x14ac:dyDescent="0.35">
      <c r="B15" s="4"/>
      <c r="C15" s="4"/>
      <c r="D15" s="3"/>
      <c r="E15" s="3"/>
      <c r="F15" s="3">
        <f t="shared" si="0"/>
        <v>0</v>
      </c>
      <c r="G15" s="3"/>
      <c r="H15" s="3"/>
      <c r="I15" s="3"/>
      <c r="J15" s="3"/>
      <c r="K15" s="1">
        <v>1.6043000000000001</v>
      </c>
      <c r="L15" s="1">
        <v>1.6041000000000001</v>
      </c>
      <c r="M15" s="1">
        <v>1.603</v>
      </c>
      <c r="N15" s="1">
        <v>1.6021000000000001</v>
      </c>
      <c r="O15" s="1">
        <v>1.6042000000000001</v>
      </c>
      <c r="P15" s="1">
        <v>1.6028</v>
      </c>
      <c r="Q15" s="1">
        <v>1.6027</v>
      </c>
      <c r="R15" s="1">
        <v>1.6043000000000001</v>
      </c>
      <c r="S15" s="1">
        <v>1.6059000000000001</v>
      </c>
      <c r="T15" s="1">
        <v>1.6076999999999999</v>
      </c>
      <c r="U15" s="1">
        <v>1.6071</v>
      </c>
      <c r="V15" s="1">
        <f t="shared" si="1"/>
        <v>1.60439</v>
      </c>
      <c r="W15">
        <f t="shared" si="2"/>
        <v>1.9226428569954059E-3</v>
      </c>
    </row>
    <row r="16" spans="1:23" x14ac:dyDescent="0.35">
      <c r="B16" s="4"/>
      <c r="C16" s="4"/>
      <c r="D16" s="3"/>
      <c r="E16" s="3"/>
      <c r="F16" s="3">
        <f t="shared" si="0"/>
        <v>0</v>
      </c>
      <c r="G16" s="3"/>
      <c r="H16" s="3"/>
      <c r="I16" s="3"/>
      <c r="J16" s="3"/>
      <c r="K16" s="1">
        <v>1.4177999999999999</v>
      </c>
      <c r="L16" s="1">
        <v>1.4008</v>
      </c>
      <c r="M16" s="1">
        <v>1.4140999999999999</v>
      </c>
      <c r="N16" s="1">
        <v>1.4177999999999999</v>
      </c>
      <c r="O16" s="1">
        <v>1.4193</v>
      </c>
      <c r="P16" s="1">
        <v>1.4187000000000001</v>
      </c>
      <c r="Q16" s="1">
        <v>1.4196</v>
      </c>
      <c r="R16" s="1">
        <v>1.4233</v>
      </c>
      <c r="S16" s="1">
        <v>1.4235</v>
      </c>
      <c r="T16" s="1">
        <v>1.4226000000000001</v>
      </c>
      <c r="U16" s="1">
        <v>1.4246000000000001</v>
      </c>
      <c r="V16" s="1">
        <f t="shared" si="1"/>
        <v>1.4184299999999999</v>
      </c>
      <c r="W16">
        <f t="shared" si="2"/>
        <v>6.9685085284522125E-3</v>
      </c>
    </row>
    <row r="17" spans="1:23" x14ac:dyDescent="0.35">
      <c r="A17" t="s">
        <v>18</v>
      </c>
      <c r="B17" s="4">
        <v>3</v>
      </c>
      <c r="C17" s="4">
        <v>50000</v>
      </c>
      <c r="D17" s="3">
        <v>0.66</v>
      </c>
      <c r="E17" s="3">
        <v>0.22889999999999999</v>
      </c>
      <c r="F17" s="3">
        <f t="shared" si="0"/>
        <v>0.7722353211001205</v>
      </c>
      <c r="G17" s="3" t="s">
        <v>19</v>
      </c>
      <c r="H17" s="3">
        <v>1.5786</v>
      </c>
      <c r="I17" s="3">
        <v>643000000000</v>
      </c>
      <c r="J17" s="3">
        <v>1.3514999999999999</v>
      </c>
      <c r="K17" s="1">
        <v>1.5199</v>
      </c>
      <c r="L17" s="1">
        <v>1.5165999999999999</v>
      </c>
      <c r="M17" s="1">
        <v>1.5162</v>
      </c>
      <c r="N17" s="1">
        <v>1.5159</v>
      </c>
      <c r="O17" s="1">
        <v>1.5165999999999999</v>
      </c>
      <c r="P17" s="1">
        <v>1.5208999999999999</v>
      </c>
      <c r="Q17" s="1">
        <v>1.5209999999999999</v>
      </c>
      <c r="R17" s="1">
        <v>1.5189999999999999</v>
      </c>
      <c r="S17" s="1">
        <v>1.5217000000000001</v>
      </c>
      <c r="T17" s="1">
        <v>1.5282</v>
      </c>
      <c r="U17" s="1">
        <v>1.5271999999999999</v>
      </c>
      <c r="V17" s="1">
        <f t="shared" si="1"/>
        <v>1.52033</v>
      </c>
      <c r="W17">
        <f t="shared" si="2"/>
        <v>4.447983313318013E-3</v>
      </c>
    </row>
    <row r="18" spans="1:23" x14ac:dyDescent="0.35">
      <c r="B18" s="4"/>
      <c r="C18" s="4"/>
      <c r="D18" s="3"/>
      <c r="E18" s="3" t="s">
        <v>34</v>
      </c>
      <c r="F18" s="3" t="e">
        <f t="shared" si="0"/>
        <v>#VALUE!</v>
      </c>
      <c r="G18" s="3"/>
      <c r="H18" s="3"/>
      <c r="I18" s="3"/>
      <c r="J18" s="3"/>
      <c r="K18" s="1">
        <v>1.5745</v>
      </c>
      <c r="L18" s="1">
        <v>1.5996999999999999</v>
      </c>
      <c r="M18" s="1">
        <v>1.5975999999999999</v>
      </c>
      <c r="N18" s="1">
        <v>1.5949</v>
      </c>
      <c r="O18" s="1">
        <v>1.589</v>
      </c>
      <c r="P18" s="1">
        <v>1.5688</v>
      </c>
      <c r="Q18" s="1">
        <v>1.5569999999999999</v>
      </c>
      <c r="R18" s="1">
        <v>1.5522</v>
      </c>
      <c r="S18" s="1">
        <v>1.5591999999999999</v>
      </c>
      <c r="T18" s="1">
        <v>1.5626</v>
      </c>
      <c r="U18" s="1">
        <v>1.5637000000000001</v>
      </c>
      <c r="V18" s="1">
        <f t="shared" ref="V18:V46" si="3">AVERAGE(L18:U18)</f>
        <v>1.5744700000000003</v>
      </c>
      <c r="W18">
        <f t="shared" ref="W18:W46" si="4">STDEV(L18:U18)</f>
        <v>1.8629191549226629E-2</v>
      </c>
    </row>
    <row r="19" spans="1:23" x14ac:dyDescent="0.35">
      <c r="B19" s="4"/>
      <c r="C19" s="4"/>
      <c r="D19" s="3"/>
      <c r="E19" s="3"/>
      <c r="F19" s="3">
        <f t="shared" si="0"/>
        <v>0</v>
      </c>
      <c r="G19" s="3"/>
      <c r="H19" s="3"/>
      <c r="I19" s="3"/>
      <c r="J19" s="3"/>
      <c r="K19" s="1">
        <v>1.367</v>
      </c>
      <c r="L19" s="1">
        <v>1.3624000000000001</v>
      </c>
      <c r="M19" s="1">
        <v>1.3620000000000001</v>
      </c>
      <c r="N19" s="1">
        <v>1.3616999999999999</v>
      </c>
      <c r="O19" s="1">
        <v>1.3626</v>
      </c>
      <c r="P19" s="1">
        <v>1.3662000000000001</v>
      </c>
      <c r="Q19" s="1">
        <v>1.3724000000000001</v>
      </c>
      <c r="R19" s="1">
        <v>1.3763000000000001</v>
      </c>
      <c r="S19" s="1">
        <v>1.3758999999999999</v>
      </c>
      <c r="T19" s="1">
        <v>1.3774</v>
      </c>
      <c r="U19" s="1">
        <v>1.3777999999999999</v>
      </c>
      <c r="V19" s="1">
        <f t="shared" si="3"/>
        <v>1.3694700000000002</v>
      </c>
      <c r="W19">
        <f t="shared" si="4"/>
        <v>7.0938236046107677E-3</v>
      </c>
    </row>
    <row r="20" spans="1:23" x14ac:dyDescent="0.35">
      <c r="A20" t="s">
        <v>20</v>
      </c>
      <c r="B20" s="4">
        <v>11</v>
      </c>
      <c r="C20" s="4">
        <v>50000</v>
      </c>
      <c r="D20" s="3">
        <v>0.66</v>
      </c>
      <c r="E20" s="3">
        <v>0.35070000000000001</v>
      </c>
      <c r="F20" s="3">
        <f t="shared" si="0"/>
        <v>0.82073178059899521</v>
      </c>
      <c r="G20" s="3" t="s">
        <v>21</v>
      </c>
      <c r="H20" s="3">
        <v>1.5894999999999999</v>
      </c>
      <c r="I20" s="3">
        <v>601700000000</v>
      </c>
      <c r="J20" s="3">
        <v>1.3527</v>
      </c>
      <c r="K20" s="1">
        <v>1.5154000000000001</v>
      </c>
      <c r="L20" s="1">
        <v>1.5128999999999999</v>
      </c>
      <c r="M20" s="1">
        <v>1.5143</v>
      </c>
      <c r="N20" s="1">
        <v>1.5174000000000001</v>
      </c>
      <c r="O20" s="1">
        <v>1.5155000000000001</v>
      </c>
      <c r="P20" s="1">
        <v>1.5046999999999999</v>
      </c>
      <c r="Q20" s="1">
        <v>1.5052000000000001</v>
      </c>
      <c r="R20" s="1">
        <v>1.5117</v>
      </c>
      <c r="S20" s="1">
        <v>1.5199</v>
      </c>
      <c r="T20" s="1">
        <v>1.5236000000000001</v>
      </c>
      <c r="U20" s="1">
        <v>1.5319</v>
      </c>
      <c r="V20" s="1">
        <f t="shared" si="3"/>
        <v>1.5157099999999999</v>
      </c>
      <c r="W20">
        <f t="shared" si="4"/>
        <v>8.1817479794968201E-3</v>
      </c>
    </row>
    <row r="21" spans="1:23" x14ac:dyDescent="0.35">
      <c r="B21" s="4"/>
      <c r="C21" s="4"/>
      <c r="D21" s="3"/>
      <c r="E21" s="3"/>
      <c r="F21" s="3">
        <f t="shared" si="0"/>
        <v>0</v>
      </c>
      <c r="G21" s="3"/>
      <c r="H21" s="3"/>
      <c r="I21" s="3"/>
      <c r="J21" s="3"/>
      <c r="K21" s="1">
        <v>1.5692999999999999</v>
      </c>
      <c r="L21" s="1">
        <v>1.5835999999999999</v>
      </c>
      <c r="M21" s="1">
        <v>1.5802</v>
      </c>
      <c r="N21" s="1">
        <v>1.5822000000000001</v>
      </c>
      <c r="O21" s="1">
        <v>1.5710999999999999</v>
      </c>
      <c r="P21" s="1">
        <v>1.5550999999999999</v>
      </c>
      <c r="Q21" s="1">
        <v>1.5553999999999999</v>
      </c>
      <c r="R21" s="1">
        <v>1.5626</v>
      </c>
      <c r="S21" s="1">
        <v>1.5664</v>
      </c>
      <c r="T21" s="1">
        <v>1.5694999999999999</v>
      </c>
      <c r="U21" s="1">
        <v>1.5693999999999999</v>
      </c>
      <c r="V21" s="1">
        <f t="shared" si="3"/>
        <v>1.56955</v>
      </c>
      <c r="W21">
        <f t="shared" si="4"/>
        <v>1.0222660014779825E-2</v>
      </c>
    </row>
    <row r="22" spans="1:23" x14ac:dyDescent="0.35">
      <c r="B22" s="4"/>
      <c r="C22" s="4"/>
      <c r="D22" s="3"/>
      <c r="E22" s="3"/>
      <c r="F22" s="3">
        <f t="shared" si="0"/>
        <v>0</v>
      </c>
      <c r="G22" s="3"/>
      <c r="H22" s="3"/>
      <c r="I22" s="3"/>
      <c r="J22" s="3"/>
      <c r="K22" s="1">
        <v>1.367</v>
      </c>
      <c r="L22" s="1">
        <v>1.3637999999999999</v>
      </c>
      <c r="M22" s="1">
        <v>1.3640000000000001</v>
      </c>
      <c r="N22" s="1">
        <v>1.3644000000000001</v>
      </c>
      <c r="O22" s="1">
        <v>1.3656999999999999</v>
      </c>
      <c r="P22" s="1">
        <v>1.367</v>
      </c>
      <c r="Q22" s="1">
        <v>1.3661000000000001</v>
      </c>
      <c r="R22" s="1">
        <v>1.3673</v>
      </c>
      <c r="S22" s="1">
        <v>1.3693</v>
      </c>
      <c r="T22" s="1">
        <v>1.3717999999999999</v>
      </c>
      <c r="U22" s="1">
        <v>1.3777999999999999</v>
      </c>
      <c r="V22" s="1">
        <f t="shared" si="3"/>
        <v>1.3677200000000003</v>
      </c>
      <c r="W22">
        <f t="shared" si="4"/>
        <v>4.3253259350532324E-3</v>
      </c>
    </row>
    <row r="23" spans="1:23" x14ac:dyDescent="0.35">
      <c r="A23" t="s">
        <v>22</v>
      </c>
      <c r="B23" s="4">
        <v>6</v>
      </c>
      <c r="C23" s="4">
        <v>50000</v>
      </c>
      <c r="D23" s="3">
        <v>0.66</v>
      </c>
      <c r="E23" s="3">
        <v>0.1855</v>
      </c>
      <c r="F23" s="3">
        <f t="shared" si="0"/>
        <v>0.75327637358231692</v>
      </c>
      <c r="G23" s="3" t="s">
        <v>23</v>
      </c>
      <c r="H23" s="3">
        <v>1.6158999999999999</v>
      </c>
      <c r="I23" s="3">
        <v>278200000000</v>
      </c>
      <c r="J23" s="3">
        <v>1.3733</v>
      </c>
      <c r="K23" s="1">
        <v>1.4967999999999999</v>
      </c>
      <c r="L23" s="1">
        <v>1.5015000000000001</v>
      </c>
      <c r="M23" s="1">
        <v>1.498</v>
      </c>
      <c r="N23" s="1">
        <v>1.4967999999999999</v>
      </c>
      <c r="O23" s="1">
        <v>1.4974000000000001</v>
      </c>
      <c r="P23" s="1">
        <v>1.4974000000000001</v>
      </c>
      <c r="Q23" s="1">
        <v>1.4971000000000001</v>
      </c>
      <c r="R23" s="1">
        <v>1.4973000000000001</v>
      </c>
      <c r="S23" s="1">
        <v>1.4952000000000001</v>
      </c>
      <c r="T23" s="1">
        <v>1.4966999999999999</v>
      </c>
      <c r="U23" s="1">
        <v>1.4910000000000001</v>
      </c>
      <c r="V23" s="1">
        <f t="shared" si="3"/>
        <v>1.4968399999999999</v>
      </c>
      <c r="W23">
        <f t="shared" si="4"/>
        <v>2.5988031433291951E-3</v>
      </c>
    </row>
    <row r="24" spans="1:23" x14ac:dyDescent="0.35">
      <c r="B24" s="4"/>
      <c r="C24" s="4"/>
      <c r="D24" s="3"/>
      <c r="E24" s="3"/>
      <c r="F24" s="3">
        <f t="shared" si="0"/>
        <v>0</v>
      </c>
      <c r="G24" s="3"/>
      <c r="H24" s="3"/>
      <c r="I24" s="3"/>
      <c r="J24" s="3"/>
      <c r="K24" s="1">
        <v>1.5412999999999999</v>
      </c>
      <c r="L24" s="1">
        <v>1.5602</v>
      </c>
      <c r="M24" s="1">
        <v>1.5535000000000001</v>
      </c>
      <c r="N24" s="1">
        <v>1.5512999999999999</v>
      </c>
      <c r="O24" s="1">
        <v>1.5501</v>
      </c>
      <c r="P24" s="1">
        <v>1.5472999999999999</v>
      </c>
      <c r="Q24" s="1">
        <v>1.5445</v>
      </c>
      <c r="R24" s="1">
        <v>1.5385</v>
      </c>
      <c r="S24" s="1">
        <v>1.5296000000000001</v>
      </c>
      <c r="T24" s="1">
        <v>1.5286</v>
      </c>
      <c r="U24" s="1">
        <v>1.5169999999999999</v>
      </c>
      <c r="V24" s="1">
        <f t="shared" si="3"/>
        <v>1.5420599999999998</v>
      </c>
      <c r="W24">
        <f t="shared" si="4"/>
        <v>1.3418329089553444E-2</v>
      </c>
    </row>
    <row r="25" spans="1:23" x14ac:dyDescent="0.35">
      <c r="B25" s="4"/>
      <c r="C25" s="4"/>
      <c r="D25" s="3"/>
      <c r="E25" s="3"/>
      <c r="F25" s="3">
        <f t="shared" si="0"/>
        <v>0</v>
      </c>
      <c r="G25" s="3"/>
      <c r="H25" s="3"/>
      <c r="I25" s="3"/>
      <c r="J25" s="3"/>
      <c r="K25" s="1">
        <v>1.3694</v>
      </c>
      <c r="L25" s="1">
        <v>1.3647</v>
      </c>
      <c r="M25" s="1">
        <v>1.3649</v>
      </c>
      <c r="N25" s="1">
        <v>1.3653999999999999</v>
      </c>
      <c r="O25" s="1">
        <v>1.3665</v>
      </c>
      <c r="P25" s="1">
        <v>1.3678999999999999</v>
      </c>
      <c r="Q25" s="1">
        <v>1.3692</v>
      </c>
      <c r="R25" s="1">
        <v>1.3712</v>
      </c>
      <c r="S25" s="1">
        <v>1.3736999999999999</v>
      </c>
      <c r="T25" s="1">
        <v>1.3773</v>
      </c>
      <c r="U25" s="1">
        <v>1.3805000000000001</v>
      </c>
      <c r="V25" s="1">
        <f t="shared" si="3"/>
        <v>1.3701299999999998</v>
      </c>
      <c r="W25">
        <f t="shared" si="4"/>
        <v>5.487976757320402E-3</v>
      </c>
    </row>
    <row r="26" spans="1:23" x14ac:dyDescent="0.35">
      <c r="A26" t="s">
        <v>24</v>
      </c>
      <c r="B26" s="4">
        <v>11</v>
      </c>
      <c r="C26" s="4">
        <v>50000</v>
      </c>
      <c r="D26" s="3">
        <v>0.66</v>
      </c>
      <c r="E26" s="3">
        <v>0.22339999999999999</v>
      </c>
      <c r="F26" s="3">
        <f t="shared" si="0"/>
        <v>0.76988506628645936</v>
      </c>
      <c r="G26" s="3">
        <v>955600000000</v>
      </c>
      <c r="H26" s="3">
        <v>1.6055999999999999</v>
      </c>
      <c r="I26" s="3">
        <v>368000000000</v>
      </c>
      <c r="J26" s="3">
        <v>1.3642000000000001</v>
      </c>
      <c r="K26" s="1">
        <v>1.4944999999999999</v>
      </c>
      <c r="L26" s="1">
        <v>1.4979</v>
      </c>
      <c r="M26" s="1">
        <v>1.4985999999999999</v>
      </c>
      <c r="N26" s="1">
        <v>1.4988999999999999</v>
      </c>
      <c r="O26" s="1">
        <v>1.4973000000000001</v>
      </c>
      <c r="P26" s="1">
        <v>1.496</v>
      </c>
      <c r="Q26" s="1">
        <v>1.4964999999999999</v>
      </c>
      <c r="R26" s="1">
        <v>1.494</v>
      </c>
      <c r="S26" s="1">
        <v>1.4967999999999999</v>
      </c>
      <c r="T26" s="1">
        <v>1.4919</v>
      </c>
      <c r="U26" s="1">
        <v>1.4770000000000001</v>
      </c>
      <c r="V26" s="1">
        <f t="shared" si="3"/>
        <v>1.4944899999999999</v>
      </c>
      <c r="W26">
        <f t="shared" si="4"/>
        <v>6.5010170144540989E-3</v>
      </c>
    </row>
    <row r="27" spans="1:23" x14ac:dyDescent="0.35">
      <c r="B27" s="4"/>
      <c r="C27" s="4"/>
      <c r="D27" s="3"/>
      <c r="E27" s="3"/>
      <c r="F27" s="3">
        <f t="shared" si="0"/>
        <v>0</v>
      </c>
      <c r="G27" s="3"/>
      <c r="H27" s="3"/>
      <c r="I27" s="3"/>
      <c r="J27" s="3"/>
      <c r="K27" s="1">
        <v>1.5563</v>
      </c>
      <c r="L27" s="1">
        <v>1.5760000000000001</v>
      </c>
      <c r="M27" s="1">
        <v>1.5737000000000001</v>
      </c>
      <c r="N27" s="1">
        <v>1.5707</v>
      </c>
      <c r="O27" s="1">
        <v>1.5643</v>
      </c>
      <c r="P27" s="1">
        <v>1.5595000000000001</v>
      </c>
      <c r="Q27" s="1">
        <v>1.5643</v>
      </c>
      <c r="R27" s="1">
        <v>1.5584</v>
      </c>
      <c r="S27" s="1">
        <v>1.5625</v>
      </c>
      <c r="T27" s="1">
        <v>1.5463</v>
      </c>
      <c r="U27" s="1">
        <v>1.5013000000000001</v>
      </c>
      <c r="V27" s="1">
        <f t="shared" si="3"/>
        <v>1.5577000000000001</v>
      </c>
      <c r="W27">
        <f t="shared" si="4"/>
        <v>2.1563085740836499E-2</v>
      </c>
    </row>
    <row r="28" spans="1:23" x14ac:dyDescent="0.35">
      <c r="B28" s="4"/>
      <c r="C28" s="4"/>
      <c r="D28" s="3"/>
      <c r="E28" s="3"/>
      <c r="F28" s="3">
        <f t="shared" si="0"/>
        <v>0</v>
      </c>
      <c r="G28" s="3"/>
      <c r="H28" s="3"/>
      <c r="I28" s="3"/>
      <c r="J28" s="3"/>
      <c r="K28" s="1">
        <v>1.3658999999999999</v>
      </c>
      <c r="L28" s="1">
        <v>1.3667</v>
      </c>
      <c r="M28" s="1">
        <v>1.3668</v>
      </c>
      <c r="N28" s="1">
        <v>1.3671</v>
      </c>
      <c r="O28" s="1">
        <v>1.3662000000000001</v>
      </c>
      <c r="P28" s="1">
        <v>1.3653</v>
      </c>
      <c r="Q28" s="1">
        <v>1.3652</v>
      </c>
      <c r="R28" s="1">
        <v>1.3645</v>
      </c>
      <c r="S28" s="1">
        <v>1.3648</v>
      </c>
      <c r="T28" s="1">
        <v>1.3645</v>
      </c>
      <c r="U28" s="1">
        <v>1.3705000000000001</v>
      </c>
      <c r="V28" s="1">
        <f t="shared" si="3"/>
        <v>1.36616</v>
      </c>
      <c r="W28">
        <f t="shared" si="4"/>
        <v>1.8087441929569765E-3</v>
      </c>
    </row>
    <row r="29" spans="1:23" x14ac:dyDescent="0.35">
      <c r="A29" t="s">
        <v>25</v>
      </c>
      <c r="B29" s="4">
        <v>4</v>
      </c>
      <c r="C29" s="4">
        <v>50000</v>
      </c>
      <c r="D29" s="3">
        <v>0.66</v>
      </c>
      <c r="E29" s="3">
        <v>0.27039999999999997</v>
      </c>
      <c r="F29" s="3">
        <f t="shared" si="0"/>
        <v>0.78950226735818829</v>
      </c>
      <c r="G29" s="3"/>
      <c r="H29" s="3"/>
      <c r="I29" s="3"/>
      <c r="J29" s="3"/>
      <c r="K29" s="1">
        <v>1.5293000000000001</v>
      </c>
      <c r="L29" s="1">
        <v>1.5206999999999999</v>
      </c>
      <c r="M29" s="1">
        <v>1.5254000000000001</v>
      </c>
      <c r="N29" s="1">
        <v>1.5257000000000001</v>
      </c>
      <c r="O29" s="1">
        <v>1.5266999999999999</v>
      </c>
      <c r="P29" s="1">
        <v>1.5267999999999999</v>
      </c>
      <c r="Q29" s="1">
        <v>1.5295000000000001</v>
      </c>
      <c r="R29" s="1">
        <v>1.5323</v>
      </c>
      <c r="S29" s="1">
        <v>1.5347</v>
      </c>
      <c r="T29" s="1">
        <v>1.5362</v>
      </c>
      <c r="U29" s="1">
        <v>1.5398000000000001</v>
      </c>
      <c r="V29" s="1">
        <f t="shared" si="3"/>
        <v>1.5297799999999999</v>
      </c>
      <c r="W29">
        <f t="shared" si="4"/>
        <v>5.8584791352174264E-3</v>
      </c>
    </row>
    <row r="30" spans="1:23" x14ac:dyDescent="0.35">
      <c r="B30" s="4"/>
      <c r="C30" s="4"/>
      <c r="D30" s="3"/>
      <c r="E30" s="3"/>
      <c r="F30" s="3">
        <f t="shared" si="0"/>
        <v>0</v>
      </c>
      <c r="G30" s="3"/>
      <c r="H30" s="3"/>
      <c r="I30" s="3"/>
      <c r="J30" s="3"/>
      <c r="K30" s="1">
        <v>1.5485</v>
      </c>
      <c r="L30" s="1">
        <v>1.5465</v>
      </c>
      <c r="M30" s="1">
        <v>1.5495000000000001</v>
      </c>
      <c r="N30" s="1">
        <v>1.5489999999999999</v>
      </c>
      <c r="O30" s="1">
        <v>1.5482</v>
      </c>
      <c r="P30" s="1">
        <v>1.5469999999999999</v>
      </c>
      <c r="Q30" s="1">
        <v>1.548</v>
      </c>
      <c r="R30" s="1">
        <v>1.55</v>
      </c>
      <c r="S30" s="1">
        <v>1.5495000000000001</v>
      </c>
      <c r="T30" s="1">
        <v>1.5482</v>
      </c>
      <c r="U30" s="1">
        <v>1.5492999999999999</v>
      </c>
      <c r="V30" s="1">
        <f t="shared" si="3"/>
        <v>1.5485200000000001</v>
      </c>
      <c r="W30">
        <f t="shared" si="4"/>
        <v>1.1458136361943614E-3</v>
      </c>
    </row>
    <row r="31" spans="1:23" x14ac:dyDescent="0.35">
      <c r="B31" s="4"/>
      <c r="C31" s="4"/>
      <c r="D31" s="3"/>
      <c r="E31" s="3"/>
      <c r="F31" s="3">
        <f t="shared" si="0"/>
        <v>0</v>
      </c>
      <c r="G31" s="3"/>
      <c r="H31" s="3"/>
      <c r="I31" s="3"/>
      <c r="J31" s="3"/>
      <c r="K31" s="1">
        <v>1.3936999999999999</v>
      </c>
      <c r="L31" s="1">
        <v>1.3806</v>
      </c>
      <c r="M31" s="1">
        <v>1.3851</v>
      </c>
      <c r="N31" s="1">
        <v>1.3862000000000001</v>
      </c>
      <c r="O31" s="1">
        <v>1.3891</v>
      </c>
      <c r="P31" s="1">
        <v>1.3911</v>
      </c>
      <c r="Q31" s="1">
        <v>1.3965000000000001</v>
      </c>
      <c r="R31" s="1">
        <v>1.3986000000000001</v>
      </c>
      <c r="S31" s="1">
        <v>1.4069</v>
      </c>
      <c r="T31" s="1">
        <v>1.415</v>
      </c>
      <c r="U31" s="1">
        <v>1.4257</v>
      </c>
      <c r="V31" s="1">
        <f t="shared" si="3"/>
        <v>1.3974799999999998</v>
      </c>
      <c r="W31">
        <f t="shared" si="4"/>
        <v>1.441694990087862E-2</v>
      </c>
    </row>
    <row r="32" spans="1:23" x14ac:dyDescent="0.35">
      <c r="A32" t="s">
        <v>26</v>
      </c>
      <c r="B32" s="4">
        <v>3</v>
      </c>
      <c r="C32" s="4">
        <v>50000</v>
      </c>
      <c r="D32" s="3">
        <v>0.75</v>
      </c>
      <c r="E32" s="3">
        <v>0.46079999999999999</v>
      </c>
      <c r="F32" s="3">
        <f t="shared" si="0"/>
        <v>0.89982164090368588</v>
      </c>
      <c r="G32" s="3">
        <v>3143600000000</v>
      </c>
      <c r="H32" s="3">
        <v>1.5226999999999999</v>
      </c>
      <c r="I32" s="3">
        <v>972000000000</v>
      </c>
      <c r="J32" s="3">
        <v>1.3454999999999999</v>
      </c>
      <c r="K32" s="1">
        <v>1.4993000000000001</v>
      </c>
      <c r="L32" s="1">
        <v>1.4695</v>
      </c>
      <c r="M32" s="1">
        <v>1.4978</v>
      </c>
      <c r="N32" s="1">
        <v>1.4979</v>
      </c>
      <c r="O32" s="1">
        <v>1.4986999999999999</v>
      </c>
      <c r="P32" s="1">
        <v>1.5027999999999999</v>
      </c>
      <c r="Q32" s="1">
        <v>1.5077</v>
      </c>
      <c r="R32" s="1">
        <v>1.5062</v>
      </c>
      <c r="S32" s="1">
        <v>1.5034000000000001</v>
      </c>
      <c r="T32" s="1">
        <v>1.4918</v>
      </c>
      <c r="U32" s="1">
        <v>1.4854000000000001</v>
      </c>
      <c r="V32" s="1">
        <f t="shared" si="3"/>
        <v>1.4961199999999999</v>
      </c>
      <c r="W32">
        <f t="shared" si="4"/>
        <v>1.1489976307876149E-2</v>
      </c>
    </row>
    <row r="33" spans="1:23" x14ac:dyDescent="0.35">
      <c r="B33" s="4"/>
      <c r="C33" s="4"/>
      <c r="D33" s="3"/>
      <c r="E33" s="3"/>
      <c r="F33" s="3">
        <f t="shared" si="0"/>
        <v>0</v>
      </c>
      <c r="G33" s="3"/>
      <c r="H33" s="3"/>
      <c r="I33" s="3"/>
      <c r="J33" s="3"/>
      <c r="K33" s="1">
        <v>1.5501</v>
      </c>
      <c r="L33" s="1">
        <v>1.5725</v>
      </c>
      <c r="M33" s="1">
        <v>1.5744</v>
      </c>
      <c r="N33" s="1">
        <v>1.5739000000000001</v>
      </c>
      <c r="O33" s="1">
        <v>1.5726</v>
      </c>
      <c r="P33" s="1">
        <v>1.5699000000000001</v>
      </c>
      <c r="Q33" s="1">
        <v>1.5606</v>
      </c>
      <c r="R33" s="1">
        <v>1.5449999999999999</v>
      </c>
      <c r="S33" s="1">
        <v>1.5301</v>
      </c>
      <c r="T33" s="1">
        <v>1.5096000000000001</v>
      </c>
      <c r="U33" s="1">
        <v>1.5026999999999999</v>
      </c>
      <c r="V33" s="1">
        <f t="shared" si="3"/>
        <v>1.5511299999999999</v>
      </c>
      <c r="W33">
        <f t="shared" si="4"/>
        <v>2.782812526124526E-2</v>
      </c>
    </row>
    <row r="34" spans="1:23" x14ac:dyDescent="0.35">
      <c r="B34" s="4"/>
      <c r="C34" s="4"/>
      <c r="D34" s="3"/>
      <c r="E34" s="3"/>
      <c r="F34" s="3">
        <f t="shared" si="0"/>
        <v>0</v>
      </c>
      <c r="G34" s="3"/>
      <c r="H34" s="3"/>
      <c r="I34" s="3"/>
      <c r="J34" s="3"/>
      <c r="K34" s="1">
        <v>1.3563000000000001</v>
      </c>
      <c r="L34" s="1">
        <v>1.3525</v>
      </c>
      <c r="M34" s="1">
        <v>1.3531</v>
      </c>
      <c r="N34" s="1">
        <v>1.353</v>
      </c>
      <c r="O34" s="1">
        <v>1.3532999999999999</v>
      </c>
      <c r="P34" s="1">
        <v>1.3545</v>
      </c>
      <c r="Q34" s="1">
        <v>1.3569</v>
      </c>
      <c r="R34" s="1">
        <v>1.3595999999999999</v>
      </c>
      <c r="S34" s="1">
        <v>1.3634999999999999</v>
      </c>
      <c r="T34" s="1">
        <v>1.3696999999999999</v>
      </c>
      <c r="U34" s="1">
        <v>1.3720000000000001</v>
      </c>
      <c r="V34" s="1">
        <f t="shared" si="3"/>
        <v>1.3588100000000001</v>
      </c>
      <c r="W34">
        <f t="shared" si="4"/>
        <v>7.2567899239264246E-3</v>
      </c>
    </row>
    <row r="35" spans="1:23" x14ac:dyDescent="0.35">
      <c r="A35" t="s">
        <v>27</v>
      </c>
      <c r="B35" s="4">
        <v>5</v>
      </c>
      <c r="C35" s="4">
        <v>40000</v>
      </c>
      <c r="D35" s="3">
        <v>0.75</v>
      </c>
      <c r="E35" s="3">
        <v>0.46279999999999999</v>
      </c>
      <c r="F35" s="3">
        <f t="shared" si="0"/>
        <v>0.90030435750872251</v>
      </c>
      <c r="G35" s="3">
        <v>2260000000000</v>
      </c>
      <c r="H35" s="3">
        <v>1.5494000000000001</v>
      </c>
      <c r="I35" s="3">
        <v>1180000000000</v>
      </c>
      <c r="J35" s="3">
        <v>1.3433999999999999</v>
      </c>
      <c r="K35" s="1">
        <v>1.5029999999999999</v>
      </c>
      <c r="L35" s="1">
        <v>1.4921</v>
      </c>
      <c r="M35" s="1">
        <v>1.4956</v>
      </c>
      <c r="N35" s="1">
        <v>1.4974000000000001</v>
      </c>
      <c r="O35" s="1">
        <v>1.4987999999999999</v>
      </c>
      <c r="P35" s="1">
        <v>1.5013000000000001</v>
      </c>
      <c r="Q35" s="1">
        <v>1.5051000000000001</v>
      </c>
      <c r="R35" s="1">
        <v>1.5071000000000001</v>
      </c>
      <c r="S35" s="1">
        <v>1.5076000000000001</v>
      </c>
      <c r="T35" s="1">
        <v>1.5102</v>
      </c>
      <c r="U35" s="1">
        <v>1.5119</v>
      </c>
      <c r="V35" s="1">
        <f t="shared" si="3"/>
        <v>1.50271</v>
      </c>
      <c r="W35">
        <f t="shared" si="4"/>
        <v>6.6503884598320163E-3</v>
      </c>
    </row>
    <row r="36" spans="1:23" x14ac:dyDescent="0.35">
      <c r="B36" s="4"/>
      <c r="C36" s="4"/>
      <c r="D36" s="3"/>
      <c r="E36" s="3" t="s">
        <v>35</v>
      </c>
      <c r="F36" s="3" t="e">
        <f t="shared" si="0"/>
        <v>#VALUE!</v>
      </c>
      <c r="G36" s="3"/>
      <c r="H36" s="3"/>
      <c r="I36" s="3"/>
      <c r="J36" s="3"/>
      <c r="K36" s="1">
        <v>1.5690999999999999</v>
      </c>
      <c r="L36" s="1">
        <v>1.5785</v>
      </c>
      <c r="M36" s="1">
        <v>1.5775999999999999</v>
      </c>
      <c r="N36" s="1">
        <v>1.5757000000000001</v>
      </c>
      <c r="O36" s="1">
        <v>1.5732999999999999</v>
      </c>
      <c r="P36" s="1">
        <v>1.57</v>
      </c>
      <c r="Q36" s="1">
        <v>1.57</v>
      </c>
      <c r="R36" s="1">
        <v>1.5682</v>
      </c>
      <c r="S36" s="1">
        <v>1.5639000000000001</v>
      </c>
      <c r="T36" s="1">
        <v>1.5625</v>
      </c>
      <c r="U36" s="1">
        <v>1.5573999999999999</v>
      </c>
      <c r="V36" s="1">
        <f t="shared" si="3"/>
        <v>1.5697100000000002</v>
      </c>
      <c r="W36">
        <f t="shared" si="4"/>
        <v>6.896126126714597E-3</v>
      </c>
    </row>
    <row r="37" spans="1:23" x14ac:dyDescent="0.35">
      <c r="B37" s="4"/>
      <c r="C37" s="4"/>
      <c r="D37" s="3"/>
      <c r="E37" s="3"/>
      <c r="F37" s="3">
        <f t="shared" si="0"/>
        <v>0</v>
      </c>
      <c r="G37" s="3"/>
      <c r="H37" s="3"/>
      <c r="I37" s="3"/>
      <c r="J37" s="3"/>
      <c r="K37" s="1">
        <v>1.3547</v>
      </c>
      <c r="L37" s="1">
        <v>1.3514999999999999</v>
      </c>
      <c r="M37" s="1">
        <v>1.3526</v>
      </c>
      <c r="N37" s="1">
        <v>1.3532</v>
      </c>
      <c r="O37" s="1">
        <v>1.3534999999999999</v>
      </c>
      <c r="P37" s="1">
        <v>1.3543000000000001</v>
      </c>
      <c r="Q37" s="1">
        <v>1.3555999999999999</v>
      </c>
      <c r="R37" s="1">
        <v>1.3559000000000001</v>
      </c>
      <c r="S37" s="1">
        <v>1.3566</v>
      </c>
      <c r="T37" s="1">
        <v>1.3575999999999999</v>
      </c>
      <c r="U37" s="1">
        <v>1.3586</v>
      </c>
      <c r="V37" s="1">
        <f t="shared" si="3"/>
        <v>1.3549399999999998</v>
      </c>
      <c r="W37">
        <f t="shared" si="4"/>
        <v>2.2950187605139927E-3</v>
      </c>
    </row>
    <row r="38" spans="1:23" x14ac:dyDescent="0.35">
      <c r="A38" t="s">
        <v>28</v>
      </c>
      <c r="B38" s="4">
        <v>5</v>
      </c>
      <c r="C38" s="4">
        <v>50000</v>
      </c>
      <c r="D38" s="3">
        <v>0.75</v>
      </c>
      <c r="E38" s="3">
        <v>0.57040000000000002</v>
      </c>
      <c r="F38" s="3">
        <f t="shared" si="0"/>
        <v>0.92477938086566747</v>
      </c>
      <c r="G38" s="3">
        <v>1782700000000</v>
      </c>
      <c r="H38" s="3">
        <v>1.5674999999999999</v>
      </c>
      <c r="I38" s="3">
        <v>735000000000</v>
      </c>
      <c r="J38" s="3">
        <v>1.3492999999999999</v>
      </c>
      <c r="K38" s="1">
        <v>1.4908999999999999</v>
      </c>
      <c r="L38" s="1">
        <v>1.4897</v>
      </c>
      <c r="M38" s="1">
        <v>1.4892000000000001</v>
      </c>
      <c r="N38" s="1">
        <v>1.4871000000000001</v>
      </c>
      <c r="O38" s="1">
        <v>1.4878</v>
      </c>
      <c r="P38" s="1">
        <v>1.4893000000000001</v>
      </c>
      <c r="Q38" s="1">
        <v>1.4913000000000001</v>
      </c>
      <c r="R38" s="1">
        <v>1.4922</v>
      </c>
      <c r="S38" s="1">
        <v>1.4939</v>
      </c>
      <c r="T38" s="1">
        <v>1.4939</v>
      </c>
      <c r="U38" s="1">
        <v>1.4955000000000001</v>
      </c>
      <c r="V38" s="1">
        <f t="shared" si="3"/>
        <v>1.49099</v>
      </c>
      <c r="W38">
        <f t="shared" si="4"/>
        <v>2.8258528702755125E-3</v>
      </c>
    </row>
    <row r="39" spans="1:23" x14ac:dyDescent="0.35">
      <c r="B39" s="4"/>
      <c r="C39" s="4"/>
      <c r="D39" s="3"/>
      <c r="E39" s="3"/>
      <c r="F39" s="3">
        <f t="shared" si="0"/>
        <v>0</v>
      </c>
      <c r="G39" s="3"/>
      <c r="H39" s="3"/>
      <c r="I39" s="3"/>
      <c r="J39" s="3"/>
      <c r="K39" s="1">
        <v>1.5361</v>
      </c>
      <c r="L39" s="1">
        <v>1.5437000000000001</v>
      </c>
      <c r="M39" s="1">
        <v>1.5451999999999999</v>
      </c>
      <c r="N39" s="1">
        <v>1.5432999999999999</v>
      </c>
      <c r="O39" s="1">
        <v>1.5411999999999999</v>
      </c>
      <c r="P39" s="1">
        <v>1.5398000000000001</v>
      </c>
      <c r="Q39" s="1">
        <v>1.5364</v>
      </c>
      <c r="R39" s="1">
        <v>1.5321</v>
      </c>
      <c r="S39" s="1">
        <v>1.5308999999999999</v>
      </c>
      <c r="T39" s="1">
        <v>1.5278</v>
      </c>
      <c r="U39" s="1">
        <v>1.5243</v>
      </c>
      <c r="V39" s="1">
        <f t="shared" si="3"/>
        <v>1.53647</v>
      </c>
      <c r="W39">
        <f t="shared" si="4"/>
        <v>7.318173724821405E-3</v>
      </c>
    </row>
    <row r="40" spans="1:23" x14ac:dyDescent="0.35">
      <c r="B40" s="4"/>
      <c r="C40" s="4"/>
      <c r="D40" s="3"/>
      <c r="E40" s="3"/>
      <c r="F40" s="3">
        <f t="shared" si="0"/>
        <v>0</v>
      </c>
      <c r="G40" s="3"/>
      <c r="H40" s="3"/>
      <c r="I40" s="3"/>
      <c r="J40" s="3"/>
      <c r="K40" s="1">
        <v>1.3572</v>
      </c>
      <c r="L40" s="1">
        <v>1.3546</v>
      </c>
      <c r="M40" s="1">
        <v>1.3544</v>
      </c>
      <c r="N40" s="1">
        <v>1.3541000000000001</v>
      </c>
      <c r="O40" s="1">
        <v>1.3548</v>
      </c>
      <c r="P40" s="1">
        <v>1.3556999999999999</v>
      </c>
      <c r="Q40" s="1">
        <v>1.3572</v>
      </c>
      <c r="R40" s="1">
        <v>1.3589</v>
      </c>
      <c r="S40" s="1">
        <v>1.3607</v>
      </c>
      <c r="T40" s="1">
        <v>1.3617999999999999</v>
      </c>
      <c r="U40" s="1">
        <v>1.3663000000000001</v>
      </c>
      <c r="V40" s="1">
        <f t="shared" si="3"/>
        <v>1.3578500000000002</v>
      </c>
      <c r="W40">
        <f t="shared" si="4"/>
        <v>4.0428950023467074E-3</v>
      </c>
    </row>
    <row r="41" spans="1:23" x14ac:dyDescent="0.35">
      <c r="A41" t="s">
        <v>36</v>
      </c>
      <c r="B41" s="4">
        <v>24</v>
      </c>
      <c r="C41" s="4">
        <v>40000</v>
      </c>
      <c r="D41" s="3">
        <v>0.75</v>
      </c>
      <c r="E41" s="3">
        <v>0.23180000000000001</v>
      </c>
      <c r="F41" s="3">
        <f t="shared" si="0"/>
        <v>0.83639306555352044</v>
      </c>
      <c r="G41" s="3">
        <v>1391100000000</v>
      </c>
      <c r="H41" s="3">
        <v>1.5842000000000001</v>
      </c>
      <c r="I41" s="3"/>
      <c r="J41" s="3"/>
      <c r="K41" s="1">
        <v>1.4551000000000001</v>
      </c>
      <c r="L41" s="1">
        <v>1.4645999999999999</v>
      </c>
      <c r="M41" s="1">
        <v>1.4623999999999999</v>
      </c>
      <c r="N41" s="1">
        <v>1.4608000000000001</v>
      </c>
      <c r="O41" s="1">
        <v>1.4560999999999999</v>
      </c>
      <c r="P41" s="1">
        <v>1.4523999999999999</v>
      </c>
      <c r="Q41" s="1">
        <v>1.4532</v>
      </c>
      <c r="R41" s="1">
        <v>1.4521999999999999</v>
      </c>
      <c r="S41" s="1">
        <v>1.4502999999999999</v>
      </c>
      <c r="T41" s="1">
        <v>1.4516</v>
      </c>
      <c r="U41" s="1">
        <v>1.4494</v>
      </c>
      <c r="V41" s="1">
        <f t="shared" si="3"/>
        <v>1.4553</v>
      </c>
      <c r="W41">
        <f t="shared" si="4"/>
        <v>5.4131527063461032E-3</v>
      </c>
    </row>
    <row r="42" spans="1:23" x14ac:dyDescent="0.35">
      <c r="B42" s="4"/>
      <c r="C42" s="4"/>
      <c r="D42" s="3"/>
      <c r="E42" s="3"/>
      <c r="F42" s="3">
        <f t="shared" si="0"/>
        <v>0</v>
      </c>
      <c r="G42" s="3"/>
      <c r="H42" s="3"/>
      <c r="I42" s="3"/>
      <c r="J42" s="3"/>
      <c r="K42" s="1">
        <v>1.5243</v>
      </c>
      <c r="L42" s="1">
        <v>1.5464</v>
      </c>
      <c r="M42" s="1">
        <v>1.5378000000000001</v>
      </c>
      <c r="N42" s="1">
        <v>1.532</v>
      </c>
      <c r="O42" s="1">
        <v>1.5226999999999999</v>
      </c>
      <c r="P42" s="1">
        <v>1.5198</v>
      </c>
      <c r="Q42" s="1">
        <v>1.524</v>
      </c>
      <c r="R42" s="1">
        <v>1.5210999999999999</v>
      </c>
      <c r="S42" s="1">
        <v>1.5148999999999999</v>
      </c>
      <c r="T42" s="1">
        <v>1.5165999999999999</v>
      </c>
      <c r="U42" s="1">
        <v>1.5139</v>
      </c>
      <c r="V42" s="1">
        <f t="shared" si="3"/>
        <v>1.5249200000000003</v>
      </c>
      <c r="W42">
        <f t="shared" si="4"/>
        <v>1.0619981167591611E-2</v>
      </c>
    </row>
    <row r="43" spans="1:23" x14ac:dyDescent="0.35">
      <c r="B43" s="4"/>
      <c r="C43" s="4"/>
      <c r="D43" s="3"/>
      <c r="E43" s="3"/>
      <c r="F43" s="3">
        <f t="shared" si="0"/>
        <v>0</v>
      </c>
      <c r="G43" s="3"/>
      <c r="H43" s="3"/>
      <c r="I43" s="3"/>
      <c r="J43" s="3"/>
      <c r="K43" s="1">
        <v>1.3476999999999999</v>
      </c>
      <c r="L43" s="1">
        <v>1.3487</v>
      </c>
      <c r="M43" s="1">
        <v>1.3487</v>
      </c>
      <c r="N43" s="1">
        <v>1.3485</v>
      </c>
      <c r="O43" s="1">
        <v>1.3480000000000001</v>
      </c>
      <c r="P43" s="1">
        <v>1.3474999999999999</v>
      </c>
      <c r="Q43" s="1">
        <v>1.3473999999999999</v>
      </c>
      <c r="R43" s="1">
        <v>1.3471</v>
      </c>
      <c r="S43" s="1">
        <v>1.3472999999999999</v>
      </c>
      <c r="T43" s="1">
        <v>1.3472999999999999</v>
      </c>
      <c r="U43" s="1">
        <v>1.3463000000000001</v>
      </c>
      <c r="V43" s="1">
        <f t="shared" si="3"/>
        <v>1.34768</v>
      </c>
      <c r="W43">
        <f t="shared" si="4"/>
        <v>7.8145164064495317E-4</v>
      </c>
    </row>
    <row r="44" spans="1:23" x14ac:dyDescent="0.35">
      <c r="A44" t="s">
        <v>37</v>
      </c>
      <c r="B44" s="4">
        <v>5</v>
      </c>
      <c r="C44" s="4">
        <v>50000</v>
      </c>
      <c r="D44" s="3">
        <v>0.75</v>
      </c>
      <c r="E44" s="3">
        <v>0.23960000000000001</v>
      </c>
      <c r="F44" s="3">
        <f t="shared" si="0"/>
        <v>0.83885733661100281</v>
      </c>
      <c r="G44" s="3">
        <v>2280000000000</v>
      </c>
      <c r="H44" s="3">
        <v>1.5489999999999999</v>
      </c>
      <c r="I44" s="3"/>
      <c r="J44" s="3"/>
      <c r="K44" s="1">
        <v>1.4985999999999999</v>
      </c>
      <c r="L44" s="1">
        <v>1.4994000000000001</v>
      </c>
      <c r="M44" s="1">
        <v>1.5007999999999999</v>
      </c>
      <c r="N44" s="1">
        <v>1.5013000000000001</v>
      </c>
      <c r="O44" s="1">
        <v>1.5034000000000001</v>
      </c>
      <c r="P44" s="1">
        <v>1.5007999999999999</v>
      </c>
      <c r="Q44" s="1">
        <v>1.4923999999999999</v>
      </c>
      <c r="R44" s="1">
        <v>1.4926999999999999</v>
      </c>
      <c r="S44" s="1">
        <v>1.4925999999999999</v>
      </c>
      <c r="T44" s="1">
        <v>1.4972000000000001</v>
      </c>
      <c r="U44" s="1">
        <v>1.4996</v>
      </c>
      <c r="V44" s="1">
        <f t="shared" si="3"/>
        <v>1.4980199999999999</v>
      </c>
      <c r="W44">
        <f t="shared" si="4"/>
        <v>4.0756185624598101E-3</v>
      </c>
    </row>
    <row r="45" spans="1:23" x14ac:dyDescent="0.35">
      <c r="B45" s="4"/>
      <c r="C45" s="4"/>
      <c r="D45" s="3"/>
      <c r="E45" s="3"/>
      <c r="F45" s="3">
        <f t="shared" si="0"/>
        <v>0</v>
      </c>
      <c r="G45" s="3"/>
      <c r="H45" s="3"/>
      <c r="I45" s="3"/>
      <c r="J45" s="3"/>
      <c r="K45" s="1">
        <v>1.5455000000000001</v>
      </c>
      <c r="L45" s="1">
        <v>1.5746</v>
      </c>
      <c r="M45" s="1">
        <v>1.5731999999999999</v>
      </c>
      <c r="N45" s="1">
        <v>1.5670999999999999</v>
      </c>
      <c r="O45" s="1">
        <v>1.5604</v>
      </c>
      <c r="P45" s="1">
        <v>1.5427999999999999</v>
      </c>
      <c r="Q45" s="1">
        <v>1.5206</v>
      </c>
      <c r="R45" s="1">
        <v>1.5241</v>
      </c>
      <c r="S45" s="1">
        <v>1.5293000000000001</v>
      </c>
      <c r="T45" s="1">
        <v>1.5348999999999999</v>
      </c>
      <c r="U45" s="1">
        <v>1.5329999999999999</v>
      </c>
      <c r="V45" s="1">
        <f t="shared" si="3"/>
        <v>1.5459999999999998</v>
      </c>
      <c r="W45">
        <f t="shared" si="4"/>
        <v>2.0860595495921105E-2</v>
      </c>
    </row>
    <row r="46" spans="1:23" x14ac:dyDescent="0.35">
      <c r="B46" s="4"/>
      <c r="C46" s="4"/>
      <c r="D46" s="3"/>
      <c r="E46" s="3"/>
      <c r="F46" s="3">
        <f t="shared" si="0"/>
        <v>0</v>
      </c>
      <c r="G46" s="3"/>
      <c r="H46" s="3"/>
      <c r="I46" s="3"/>
      <c r="J46" s="3"/>
      <c r="K46" s="1">
        <v>1.3575999999999999</v>
      </c>
      <c r="L46" s="1">
        <v>1.3537999999999999</v>
      </c>
      <c r="M46" s="1">
        <v>1.3543000000000001</v>
      </c>
      <c r="N46" s="1">
        <v>1.3548</v>
      </c>
      <c r="O46" s="1">
        <v>1.3560000000000001</v>
      </c>
      <c r="P46" s="1">
        <v>1.3571</v>
      </c>
      <c r="Q46" s="1">
        <v>1.361</v>
      </c>
      <c r="R46" s="1">
        <v>1.3622000000000001</v>
      </c>
      <c r="S46" s="1">
        <v>1.3621000000000001</v>
      </c>
      <c r="T46" s="1">
        <v>1.3613999999999999</v>
      </c>
      <c r="U46" s="1">
        <v>1.3633</v>
      </c>
      <c r="V46" s="1">
        <f t="shared" si="3"/>
        <v>1.3586</v>
      </c>
      <c r="W46">
        <f t="shared" si="4"/>
        <v>3.7398752207348737E-3</v>
      </c>
    </row>
    <row r="47" spans="1:23" x14ac:dyDescent="0.35">
      <c r="B47" s="4"/>
      <c r="C47" s="4"/>
      <c r="D47" s="3"/>
      <c r="E47" s="3"/>
      <c r="F47" s="3">
        <f t="shared" si="0"/>
        <v>0</v>
      </c>
      <c r="G47" s="3"/>
      <c r="H47" s="3"/>
      <c r="I47" s="3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3" x14ac:dyDescent="0.35">
      <c r="B48" s="4"/>
      <c r="C48" s="4"/>
      <c r="D48" s="3"/>
      <c r="E48" s="3"/>
      <c r="F48" s="3">
        <f t="shared" si="0"/>
        <v>0</v>
      </c>
      <c r="G48" s="3"/>
      <c r="H48" s="3"/>
      <c r="I48" s="3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2:21" x14ac:dyDescent="0.35">
      <c r="B49" s="4"/>
      <c r="C49" s="4"/>
      <c r="D49" s="3"/>
      <c r="E49" s="3"/>
      <c r="F49" s="3">
        <f t="shared" si="0"/>
        <v>0</v>
      </c>
      <c r="G49" s="3"/>
      <c r="H49" s="3"/>
      <c r="I49" s="3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2:21" x14ac:dyDescent="0.35">
      <c r="B50" s="4"/>
      <c r="C50" s="4"/>
      <c r="D50" s="3"/>
      <c r="E50" s="3"/>
      <c r="F50" s="3">
        <f t="shared" si="0"/>
        <v>0</v>
      </c>
      <c r="G50" s="3"/>
      <c r="H50" s="3"/>
      <c r="I50" s="3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1" x14ac:dyDescent="0.35">
      <c r="B51" s="4"/>
      <c r="C51" s="4"/>
      <c r="D51" s="3"/>
      <c r="E51" s="3"/>
      <c r="F51" s="3">
        <f t="shared" si="0"/>
        <v>0</v>
      </c>
      <c r="G51" s="3"/>
      <c r="H51" s="3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1" x14ac:dyDescent="0.35">
      <c r="B52" s="4"/>
      <c r="C52" s="4"/>
      <c r="D52" s="3"/>
      <c r="E52" s="3"/>
      <c r="F52" s="3">
        <f t="shared" si="0"/>
        <v>0</v>
      </c>
      <c r="G52" s="3"/>
      <c r="H52" s="3"/>
      <c r="I52" s="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2:21" x14ac:dyDescent="0.35">
      <c r="B53" s="4"/>
      <c r="C53" s="4"/>
      <c r="D53" s="1"/>
      <c r="E53" s="1"/>
      <c r="F53" s="1">
        <f t="shared" si="0"/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2:21" x14ac:dyDescent="0.35">
      <c r="B54" s="4"/>
      <c r="C54" s="4"/>
      <c r="D54" s="1"/>
      <c r="E54" s="1"/>
      <c r="F54" s="1">
        <f t="shared" si="0"/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2:21" x14ac:dyDescent="0.35">
      <c r="B55" s="4"/>
      <c r="C55" s="4"/>
      <c r="D55" s="1"/>
      <c r="E55" s="1"/>
      <c r="F55" s="1">
        <f t="shared" si="0"/>
        <v>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2:21" x14ac:dyDescent="0.35">
      <c r="B56" s="4"/>
      <c r="C56" s="4"/>
      <c r="D56" s="1"/>
      <c r="E56" s="1"/>
      <c r="F56" s="1">
        <f t="shared" si="0"/>
        <v>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2:21" x14ac:dyDescent="0.35">
      <c r="B57" s="4"/>
      <c r="C57" s="4"/>
      <c r="D57" s="1"/>
      <c r="E57" s="1"/>
      <c r="F57" s="1">
        <f t="shared" si="0"/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1" x14ac:dyDescent="0.35">
      <c r="B58" s="4"/>
      <c r="C58" s="4"/>
      <c r="D58" s="1"/>
      <c r="E58" s="1"/>
      <c r="F58" s="1">
        <f t="shared" si="0"/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1" x14ac:dyDescent="0.35">
      <c r="B59" s="4"/>
      <c r="C59" s="4"/>
      <c r="D59" s="1"/>
      <c r="E59" s="1"/>
      <c r="F59" s="1">
        <f t="shared" si="0"/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2:21" x14ac:dyDescent="0.35">
      <c r="B60" s="4"/>
      <c r="C60" s="4"/>
      <c r="D60" s="1"/>
      <c r="E60" s="1"/>
      <c r="F60" s="1">
        <f t="shared" si="0"/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2:21" x14ac:dyDescent="0.35">
      <c r="B61" s="4"/>
      <c r="C61" s="4"/>
      <c r="D61" s="1"/>
      <c r="E61" s="1"/>
      <c r="F61" s="1">
        <f t="shared" si="0"/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2:21" x14ac:dyDescent="0.35">
      <c r="B62" s="4"/>
      <c r="C62" s="4"/>
      <c r="D62" s="1"/>
      <c r="E62" s="1"/>
      <c r="F62" s="1">
        <f t="shared" si="0"/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2:21" x14ac:dyDescent="0.35">
      <c r="B63" s="1"/>
      <c r="C63" s="1"/>
      <c r="D63" s="1"/>
      <c r="E63" s="1"/>
      <c r="F63" s="1">
        <f t="shared" si="0"/>
        <v>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2:21" x14ac:dyDescent="0.35">
      <c r="B64" s="1"/>
      <c r="C64" s="1"/>
      <c r="D64" s="1"/>
      <c r="E64" s="1"/>
      <c r="F64" s="1">
        <f t="shared" si="0"/>
        <v>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2:21" x14ac:dyDescent="0.35">
      <c r="B65" s="1"/>
      <c r="C65" s="1"/>
      <c r="D65" s="1"/>
      <c r="E65" s="1"/>
      <c r="F65" s="1">
        <f t="shared" si="0"/>
        <v>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2:21" x14ac:dyDescent="0.35">
      <c r="B66" s="2"/>
      <c r="C66" s="2"/>
      <c r="D66" s="2"/>
      <c r="E66" s="2"/>
      <c r="F66" s="2">
        <f t="shared" si="0"/>
        <v>0</v>
      </c>
      <c r="G66" s="2"/>
      <c r="H66" s="2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2:21" x14ac:dyDescent="0.35">
      <c r="F67">
        <f t="shared" ref="F67" si="5">(E67+D67)/(1+E67*D67)</f>
        <v>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2:21" x14ac:dyDescent="0.3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2:21" x14ac:dyDescent="0.3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романский</dc:creator>
  <cp:lastModifiedBy>вадим романский</cp:lastModifiedBy>
  <dcterms:created xsi:type="dcterms:W3CDTF">2026-10-11T13:04:09Z</dcterms:created>
  <dcterms:modified xsi:type="dcterms:W3CDTF">2026-10-16T18:39:17Z</dcterms:modified>
</cp:coreProperties>
</file>